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a-my.sharepoint.com/personal/j_purvis_1_research_gla_ac_uk/Documents/Project/Circuits/SmartSwitch/Fab_and_Assembly/"/>
    </mc:Choice>
  </mc:AlternateContent>
  <xr:revisionPtr revIDLastSave="1" documentId="8_{CFA6A906-6ECC-46DA-8251-A971E4927B17}" xr6:coauthVersionLast="47" xr6:coauthVersionMax="47" xr10:uidLastSave="{7817B602-B0FA-47BA-BA2B-806726FA35F1}"/>
  <bookViews>
    <workbookView xWindow="-108" yWindow="-108" windowWidth="23256" windowHeight="12456" xr2:uid="{E8B8D5FC-29BD-4257-A65E-0D1C3F705F69}"/>
  </bookViews>
  <sheets>
    <sheet name="SmartSwitch" sheetId="2" r:id="rId1"/>
    <sheet name="Sheet1" sheetId="1" r:id="rId2"/>
  </sheets>
  <definedNames>
    <definedName name="ExternalData_1" localSheetId="0" hidden="1">SmartSwitch!$A$1:$H$58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0" i="2" l="1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9" i="2"/>
  <c r="I50" i="2"/>
  <c r="I51" i="2"/>
  <c r="I52" i="2"/>
  <c r="I53" i="2"/>
  <c r="I54" i="2"/>
  <c r="I55" i="2"/>
  <c r="I56" i="2"/>
  <c r="I57" i="2"/>
  <c r="I5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0A841C-A52C-4AA4-8BDC-15F62E616A7E}" keepAlive="1" name="Query - SmartSwitch" description="Connection to the 'SmartSwitch' query in the workbook." type="5" refreshedVersion="8" background="1" saveData="1">
    <dbPr connection="Provider=Microsoft.Mashup.OleDb.1;Data Source=$Workbook$;Location=SmartSwitch;Extended Properties=&quot;&quot;" command="SELECT * FROM [SmartSwitch]"/>
  </connection>
</connections>
</file>

<file path=xl/sharedStrings.xml><?xml version="1.0" encoding="utf-8"?>
<sst xmlns="http://schemas.openxmlformats.org/spreadsheetml/2006/main" count="404" uniqueCount="269">
  <si>
    <t>Reference</t>
  </si>
  <si>
    <t>Qty</t>
  </si>
  <si>
    <t>Value</t>
  </si>
  <si>
    <t>Manufacturer</t>
  </si>
  <si>
    <t>Manufacturer's Part Number</t>
  </si>
  <si>
    <t>Vendor 1</t>
  </si>
  <si>
    <t>Vendor 1 Cost (ea)</t>
  </si>
  <si>
    <t>Description</t>
  </si>
  <si>
    <t>C1,C3,C5,C6,C9,C12,C15,C16,C19,C21,C25,C30,C32,C36,C37,C42,C43,C44,C45,C48,C49,C53,C55</t>
  </si>
  <si>
    <t>10µF</t>
  </si>
  <si>
    <t/>
  </si>
  <si>
    <t>KEMET</t>
  </si>
  <si>
    <t>C1206C106K4RACTU</t>
  </si>
  <si>
    <t>Digikey</t>
  </si>
  <si>
    <t>0.24</t>
  </si>
  <si>
    <t>Unpolarized capacitor, small symbol</t>
  </si>
  <si>
    <t>C2,C4,C7,C8,C10,C11,C13,C14,C17,C20,C22,C24,C26,C27,C28,C29,C31,C33,C35,C38,C39,C46,C47,C50,C51,C54,C56</t>
  </si>
  <si>
    <t>0.1µF</t>
  </si>
  <si>
    <t>C1206C104K5RACTU</t>
  </si>
  <si>
    <t>0.06</t>
  </si>
  <si>
    <t>C18,C34</t>
  </si>
  <si>
    <t>10 pF</t>
  </si>
  <si>
    <t>C1206C100K5GACTU</t>
  </si>
  <si>
    <t>0.25</t>
  </si>
  <si>
    <t>C23</t>
  </si>
  <si>
    <t>4700pF</t>
  </si>
  <si>
    <t>C1206C472J1GACTU</t>
  </si>
  <si>
    <t>0.51</t>
  </si>
  <si>
    <t>C40,C41</t>
  </si>
  <si>
    <t>150 µF</t>
  </si>
  <si>
    <t>A767MU157M1VLAE028</t>
  </si>
  <si>
    <t>1.63</t>
  </si>
  <si>
    <t>Polarized capacitor</t>
  </si>
  <si>
    <t>C52</t>
  </si>
  <si>
    <t>47µF</t>
  </si>
  <si>
    <t>T521V476M016ATE055</t>
  </si>
  <si>
    <t>1.78</t>
  </si>
  <si>
    <t>D1</t>
  </si>
  <si>
    <t>SS14</t>
  </si>
  <si>
    <t>Vishay General Semiconductor - Diodes Division</t>
  </si>
  <si>
    <t>SS14-M3/61T</t>
  </si>
  <si>
    <t>Diode, Schottky 40V 1A  DO214AC (SMA)</t>
  </si>
  <si>
    <t>D2</t>
  </si>
  <si>
    <t>SS34</t>
  </si>
  <si>
    <t>Onsemi</t>
  </si>
  <si>
    <t>40V 3A Schottky Diode, SMA</t>
  </si>
  <si>
    <t>D3,D4,D5</t>
  </si>
  <si>
    <t>PESD5V0S1UL</t>
  </si>
  <si>
    <t>Nexperia USA Inc.</t>
  </si>
  <si>
    <t>PESD5V0S1ULD,315</t>
  </si>
  <si>
    <t>0.18</t>
  </si>
  <si>
    <t>Unidirectional ESD protection diode, 5V, SOD-882</t>
  </si>
  <si>
    <t>D6,D7</t>
  </si>
  <si>
    <t>Green</t>
  </si>
  <si>
    <t>Kingbright</t>
  </si>
  <si>
    <t>WP7113GD</t>
  </si>
  <si>
    <t>0.16</t>
  </si>
  <si>
    <t>Green 568nm LED Indication - Discrete 2.2V Radial</t>
  </si>
  <si>
    <t>FB1</t>
  </si>
  <si>
    <t>Ferrite bead</t>
  </si>
  <si>
    <t>Murata</t>
  </si>
  <si>
    <t>BLM21PG601SN1D</t>
  </si>
  <si>
    <t>0.08</t>
  </si>
  <si>
    <t>J1</t>
  </si>
  <si>
    <t>Conn_01x07</t>
  </si>
  <si>
    <t>Samtec Inc.</t>
  </si>
  <si>
    <t>TSW-107-07-L-S</t>
  </si>
  <si>
    <t>0.61</t>
  </si>
  <si>
    <t>Generic connector, single row, 01x07, script generated (kicad-library-utils/schlib/autogen/connector/)</t>
  </si>
  <si>
    <t>J2</t>
  </si>
  <si>
    <t>Barrel_Jack</t>
  </si>
  <si>
    <t>Same Sky (Formerly CUI Devices)</t>
  </si>
  <si>
    <t>PJ-037A</t>
  </si>
  <si>
    <t>0.46</t>
  </si>
  <si>
    <t>DC Barrel Jack</t>
  </si>
  <si>
    <t>J3,J4,J5,J7,J8</t>
  </si>
  <si>
    <t>Conn_Coaxial</t>
  </si>
  <si>
    <t>Amphenol RF</t>
  </si>
  <si>
    <t>132134</t>
  </si>
  <si>
    <t>4.93</t>
  </si>
  <si>
    <t>SMA Connector Jack 50Ω</t>
  </si>
  <si>
    <t>J6</t>
  </si>
  <si>
    <t>Conn_01x10</t>
  </si>
  <si>
    <t>Samtec</t>
  </si>
  <si>
    <t>TSW-110-07-L-S</t>
  </si>
  <si>
    <t>0.83</t>
  </si>
  <si>
    <t>Generic connector, single row, 01x10, script generated (kicad-library-utils/schlib/autogen/connector/)</t>
  </si>
  <si>
    <t>Q1,Q2,Q5,Q6</t>
  </si>
  <si>
    <t>FCP380N60</t>
  </si>
  <si>
    <t>OnSemi</t>
  </si>
  <si>
    <t>FCPF380N60</t>
  </si>
  <si>
    <t>N-Channel 600 V 10.2A (Tc) 31W (Tc) Through Hole TO-220</t>
  </si>
  <si>
    <t>Q3,Q4</t>
  </si>
  <si>
    <t>IRLZ44NPBF</t>
  </si>
  <si>
    <t>Infineon Technologies</t>
  </si>
  <si>
    <t>Single N-Channel Power MOSFET 55V 47A TO-220 package</t>
  </si>
  <si>
    <t>Q7</t>
  </si>
  <si>
    <t>2N7002</t>
  </si>
  <si>
    <t>0.45</t>
  </si>
  <si>
    <t>0.115A Id, 60V Vds, N-Channel MOSFET, SOT-23</t>
  </si>
  <si>
    <t>R1,R2,R3,R4,R7,R8</t>
  </si>
  <si>
    <t>10Ω</t>
  </si>
  <si>
    <t>YAGEO</t>
  </si>
  <si>
    <t>RC1206FR-0710RL</t>
  </si>
  <si>
    <t>10 Ω ±1% 1/4W Chip Resistor 1206 (3216 Metric) Moisture Resistant Thick Film</t>
  </si>
  <si>
    <t>R5,R6,R13,R14,R22</t>
  </si>
  <si>
    <t>100kΩ</t>
  </si>
  <si>
    <t>RC1206FR-07100KL</t>
  </si>
  <si>
    <t>Resistor 100kΩ 1% 1/4W 1206</t>
  </si>
  <si>
    <t>R9,R10</t>
  </si>
  <si>
    <t>22kΩ</t>
  </si>
  <si>
    <t>RC1206FR-0722KL</t>
  </si>
  <si>
    <t>22 kΩ ±1% 1/4W Chip Resistor 1206 (3216 Metric) Moisture Resistant Thick Film</t>
  </si>
  <si>
    <t>R11,R12</t>
  </si>
  <si>
    <t>100Ω</t>
  </si>
  <si>
    <t>SR1206JR-7W100RL</t>
  </si>
  <si>
    <t>0.09</t>
  </si>
  <si>
    <t>100 Ω ± 5% 1/2W Chip Resistor 1206 (3216 Metric) Automotive AEC-Q200, Pulse Withstanding Thick Film</t>
  </si>
  <si>
    <t>R16,R35,R46</t>
  </si>
  <si>
    <t>1 kΩ</t>
  </si>
  <si>
    <t>AC1206FR-071KL</t>
  </si>
  <si>
    <t>0.07</t>
  </si>
  <si>
    <t>1 kΩ ±1% 1/4W Chip Resistor 1206 (3216 Metric) Automotive AEC-Q200, Moisture Resistant Thick Film</t>
  </si>
  <si>
    <t>R17</t>
  </si>
  <si>
    <t>4.7 kΩ</t>
  </si>
  <si>
    <t>AC1206JR-074K7L</t>
  </si>
  <si>
    <t>4.7 kΩ ±1% 1/4W Chip Resistor 1206 (3216 Metric) Automotive AEC-Q200, Moisture Resistant Thick Film</t>
  </si>
  <si>
    <t>R18</t>
  </si>
  <si>
    <t>47 kΩ</t>
  </si>
  <si>
    <t>AC1206FR-0747KL</t>
  </si>
  <si>
    <t>47 kΩ ±1% 1/4W Chip Resistor 1206 (3216 Metric) Automotive AEC-Q200, Moisture Resistant Thick Film</t>
  </si>
  <si>
    <t>R19</t>
  </si>
  <si>
    <t>RC1206FR-07100RL</t>
  </si>
  <si>
    <t>100 Ω ± 1% 1/4W Chip Resistor 1206 (3216 Metric) Moisture Resistant Thick Film</t>
  </si>
  <si>
    <t>R20,R24,R25,R26,R27,R31,R32</t>
  </si>
  <si>
    <t>10kΩ</t>
  </si>
  <si>
    <t>RC1206FR-0710KL</t>
  </si>
  <si>
    <t>10 kΩ ±1% 0.25W, 1/4W Chip Resistor 1206 (3216 Metric) Moisture Resistant Thick Film</t>
  </si>
  <si>
    <t>R21</t>
  </si>
  <si>
    <t>1 MΩ</t>
  </si>
  <si>
    <t>RC1206FR-071ML</t>
  </si>
  <si>
    <t>1 MΩ ±1% 1/4W Chip Resistor 1206 (3216 Metric) Moisture Resistant Thick Film</t>
  </si>
  <si>
    <t>R23</t>
  </si>
  <si>
    <t>330kΩ</t>
  </si>
  <si>
    <t>RC1206FR-07330KL</t>
  </si>
  <si>
    <t>330 kΩ ±1% 1/4W Chip Resistor 1206 (3216 Metric) Moisture Resistant Thick Film</t>
  </si>
  <si>
    <t>R28,R33</t>
  </si>
  <si>
    <t>330Ω</t>
  </si>
  <si>
    <t>AC1206FR-07330RL</t>
  </si>
  <si>
    <t>330 Ω ±1% 1/4W Chip Resistor 1206 (3216 Metric) Automotive AEC-Q200, Moisture Resistant Thick Film</t>
  </si>
  <si>
    <t>R29,R30,R34</t>
  </si>
  <si>
    <t>330 Ω</t>
  </si>
  <si>
    <t>R36</t>
  </si>
  <si>
    <t>220Ω</t>
  </si>
  <si>
    <t>RC1206FR-13220RL</t>
  </si>
  <si>
    <t>220Ω ±1% 1/4W Chip Resistor 1206 (3216 Metric) Automotive AEC-Q200, Moisture Resistant Thick Film</t>
  </si>
  <si>
    <t>R37</t>
  </si>
  <si>
    <t>301Ω</t>
  </si>
  <si>
    <t>RC1206FR-07301RL</t>
  </si>
  <si>
    <t>301Ω ±1% 1/4W Chip Resistor 1206 (3216 Metric) Automotive AEC-Q200, Moisture Resistant Thick Film</t>
  </si>
  <si>
    <t>R38,R40</t>
  </si>
  <si>
    <t>121Ω</t>
  </si>
  <si>
    <t>RC1206FR-07121RL</t>
  </si>
  <si>
    <t>121Ω ±1% 1/4W Chip Resistor 1206 (3216 Metric) Automotive AEC-Q200, Moisture Resistant Thick Film</t>
  </si>
  <si>
    <t>R39</t>
  </si>
  <si>
    <t>365Ω</t>
  </si>
  <si>
    <t>RC1206FR-07365RL</t>
  </si>
  <si>
    <t>365Ω ±1% 1/4W Chip Resistor 1206 (3216 Metric) Automotive AEC-Q200, Moisture Resistant Thick Film</t>
  </si>
  <si>
    <t>R41</t>
  </si>
  <si>
    <t>200Ω</t>
  </si>
  <si>
    <t>RC1206FR-07200RL</t>
  </si>
  <si>
    <t>200Ω ±1% 1/4W Chip Resistor 1206 (3216 Metric) Automotive AEC-Q200, Moisture Resistant Thick Film</t>
  </si>
  <si>
    <t>R42</t>
  </si>
  <si>
    <t>0Ω</t>
  </si>
  <si>
    <t>RC1206JR-070RL</t>
  </si>
  <si>
    <t>0Ω ±1% 1/4W Jumper Chip Resistor 1206 (3216 Metric) Automotive AEC-Q200, Moisture Resistant Thick Film</t>
  </si>
  <si>
    <t>R43,R44,R45</t>
  </si>
  <si>
    <t>49.9 Ω</t>
  </si>
  <si>
    <t>RC1206FR-0749R9L</t>
  </si>
  <si>
    <t>49.9 Ω ±1% 1/4W Chip Resistor 1206 (3216 Metric) Moisture Resistant Thick Film</t>
  </si>
  <si>
    <t>R47</t>
  </si>
  <si>
    <t>470Ω</t>
  </si>
  <si>
    <t>AC1206FR-07470RL</t>
  </si>
  <si>
    <t>470Ω ±1% 1/4W Chip Resistor 1206 (3216 Metric) Automotive AEC-Q200, Moisture Resistant Thick Film</t>
  </si>
  <si>
    <t>RV1</t>
  </si>
  <si>
    <t>10 kΩ</t>
  </si>
  <si>
    <t>Bourns Inc.</t>
  </si>
  <si>
    <t>PV36W103C01B00</t>
  </si>
  <si>
    <t>1.17</t>
  </si>
  <si>
    <t>Potentiometer, US symbol</t>
  </si>
  <si>
    <t>SW1,SW2,SW3</t>
  </si>
  <si>
    <t>SW_Push</t>
  </si>
  <si>
    <t>C&amp;K</t>
  </si>
  <si>
    <t>Y78B22120FP</t>
  </si>
  <si>
    <t>Micro miniature tactile switch</t>
  </si>
  <si>
    <t>TP1,TP2</t>
  </si>
  <si>
    <t>TestPoint</t>
  </si>
  <si>
    <t>Keystone Electronics</t>
  </si>
  <si>
    <t>5002</t>
  </si>
  <si>
    <t>0.22</t>
  </si>
  <si>
    <t>test point</t>
  </si>
  <si>
    <t>TP3</t>
  </si>
  <si>
    <t>5001</t>
  </si>
  <si>
    <t>TP4,TP8,TP9</t>
  </si>
  <si>
    <t>5004</t>
  </si>
  <si>
    <t>TP5,TP6,TP7</t>
  </si>
  <si>
    <t>5000</t>
  </si>
  <si>
    <t>U1,U3</t>
  </si>
  <si>
    <t>ADuM4121</t>
  </si>
  <si>
    <t>Analog Devices</t>
  </si>
  <si>
    <t>ADUM4121BRIZ-RL</t>
  </si>
  <si>
    <t>5.20</t>
  </si>
  <si>
    <t>High Voltage, Isolated Gate Driver with Internal Miller Clamp, 2 A Output</t>
  </si>
  <si>
    <t>U2,U4</t>
  </si>
  <si>
    <t>NMA0515DC</t>
  </si>
  <si>
    <t>Murata Power Solutions Inc.</t>
  </si>
  <si>
    <t>3.90</t>
  </si>
  <si>
    <t>±33mA Isolated 1W Dual output DC/DC Converter Module, 5V Input Voltage, ±15V Output Voltage, DIP Package</t>
  </si>
  <si>
    <t>U5</t>
  </si>
  <si>
    <t>TC4422</t>
  </si>
  <si>
    <t>Microchip Technology</t>
  </si>
  <si>
    <t>TC4422ESM</t>
  </si>
  <si>
    <t>3.44</t>
  </si>
  <si>
    <t>9A High-Speed non-inverting MOSFET Driver</t>
  </si>
  <si>
    <t>U6</t>
  </si>
  <si>
    <t>TLE2426</t>
  </si>
  <si>
    <t>Texas Instruments</t>
  </si>
  <si>
    <t>TLE2426CLPR</t>
  </si>
  <si>
    <t>2.34</t>
  </si>
  <si>
    <t>Precision virtual ground, 4V to 40V input, TO-92</t>
  </si>
  <si>
    <t>U7</t>
  </si>
  <si>
    <t>ADA4891</t>
  </si>
  <si>
    <t>Analog Devices Inc.</t>
  </si>
  <si>
    <t>ADA4891-1ARZ-R7</t>
  </si>
  <si>
    <t>1.33</t>
  </si>
  <si>
    <t>200MHz, CMOS, Operational amplifier, with shutdown, SOT-23-6</t>
  </si>
  <si>
    <t>U8</t>
  </si>
  <si>
    <t>AD8603</t>
  </si>
  <si>
    <t>AD8603AUJZ-REEL7</t>
  </si>
  <si>
    <t>1.96</t>
  </si>
  <si>
    <t>Precision Micropower, Low Noise CMOS, Rail-to-Rail Input/Output Operational Amplifier, TSOT-23-5</t>
  </si>
  <si>
    <t>U9</t>
  </si>
  <si>
    <t>MCP6546</t>
  </si>
  <si>
    <t>MCP6546-E/SN</t>
  </si>
  <si>
    <t>0.36</t>
  </si>
  <si>
    <t>High-Speed Comparator, 4.5-ns, Rail-to-Rail, Push-Pull CMOS Output, SOIC-8</t>
  </si>
  <si>
    <t>U10</t>
  </si>
  <si>
    <t>UPduino Rev 3.1</t>
  </si>
  <si>
    <t>U11,U12,U17</t>
  </si>
  <si>
    <t>74LVC3G17</t>
  </si>
  <si>
    <t>SN74LVC3G17DCTR</t>
  </si>
  <si>
    <t>0.65</t>
  </si>
  <si>
    <t>Triple Buffer Schmitt, Low-Voltage CMOS</t>
  </si>
  <si>
    <t>U13,U14</t>
  </si>
  <si>
    <t>OKR-T/3-W12-C</t>
  </si>
  <si>
    <t>5.49</t>
  </si>
  <si>
    <t>Non-Isolated PoL Module DC DC Converter 1 Output 0.59 ~ 6V 3A 4.5V - 14V Input</t>
  </si>
  <si>
    <t>U15,U16</t>
  </si>
  <si>
    <t>LT1086-ADJ</t>
  </si>
  <si>
    <t>LT1086CT#PBF</t>
  </si>
  <si>
    <t>4.34</t>
  </si>
  <si>
    <t>1.5A 25V LDO Linear Regulator, Adjustable Output, TO-220/TO-263</t>
  </si>
  <si>
    <t>U18</t>
  </si>
  <si>
    <t>74LVC125</t>
  </si>
  <si>
    <t>SN74LVC125APWR</t>
  </si>
  <si>
    <t>0.27</t>
  </si>
  <si>
    <t>Quad buffer 3-State outputs</t>
  </si>
  <si>
    <t>Ext Cost</t>
  </si>
  <si>
    <t>Purchased locally, not to be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</si>
</sst>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 wrapText="1"/>
    </xf>
    <xf numFmtId="2" fontId="0" fillId="0" borderId="0" xfId="0" applyNumberFormat="1" applyAlignment="1">
      <alignment vertical="center" wrapText="1"/>
    </xf>
    <xf numFmtId="2" fontId="0" fillId="0" borderId="0" xfId="0" applyNumberFormat="1"/>
  </cellXfs>
  <cellStyles count="1">
    <cellStyle name="Normal" xfId="0" builtinId="0"/>
  </cellStyles>
  <dxfs count="10">
    <dxf>
      <numFmt numFmtId="2" formatCode="0.00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AE32FEB-DA4B-4599-8FD1-6F16FEDE428A}" autoFormatId="16" applyNumberFormats="0" applyBorderFormats="0" applyFontFormats="0" applyPatternFormats="0" applyAlignmentFormats="0" applyWidthHeightFormats="0">
  <queryTableRefresh nextId="14" unboundColumnsRight="1">
    <queryTableFields count="9">
      <queryTableField id="1" name="Reference" tableColumnId="1"/>
      <queryTableField id="2" name="Qty" tableColumnId="2"/>
      <queryTableField id="3" name="Value" tableColumnId="3"/>
      <queryTableField id="7" name="Manufacturer" tableColumnId="7"/>
      <queryTableField id="8" name="Manufacturer's Part Number" tableColumnId="8"/>
      <queryTableField id="9" name="Vendor 1" tableColumnId="9"/>
      <queryTableField id="11" name="Vendor 1 Cost (ea)" tableColumnId="11"/>
      <queryTableField id="12" name="Description" tableColumnId="12"/>
      <queryTableField id="13" dataBound="0" tableColumnId="13"/>
    </queryTableFields>
    <queryTableDeletedFields count="4">
      <deletedField name="DNP"/>
      <deletedField name="Exclude from BOM"/>
      <deletedField name="Exclude from Board"/>
      <deletedField name="Vendor 1 Cos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E03186-282E-4C98-95F3-F7B371AFB22E}" name="SmartSwitch" displayName="SmartSwitch" ref="A1:I58" tableType="queryTable" totalsRowShown="0" dataDxfId="9">
  <tableColumns count="9">
    <tableColumn id="1" xr3:uid="{1F0045D7-4EE2-4D07-A25B-A7A834FFDE73}" uniqueName="1" name="Reference" queryTableFieldId="1" dataDxfId="8"/>
    <tableColumn id="2" xr3:uid="{D593A269-99B5-4A6E-A7D8-3B0EE128A5E2}" uniqueName="2" name="Qty" queryTableFieldId="2" dataDxfId="7"/>
    <tableColumn id="3" xr3:uid="{41AE0D73-9D54-4E00-A022-458AD5F6492A}" uniqueName="3" name="Value" queryTableFieldId="3" dataDxfId="6"/>
    <tableColumn id="7" xr3:uid="{D0861D96-D1F4-4A70-9B58-697B2042D21E}" uniqueName="7" name="Manufacturer" queryTableFieldId="7" dataDxfId="5"/>
    <tableColumn id="8" xr3:uid="{EF1A6964-53B2-444C-9FFC-C831E9DB48E9}" uniqueName="8" name="Manufacturer's Part Number" queryTableFieldId="8" dataDxfId="4"/>
    <tableColumn id="9" xr3:uid="{5299CDB4-851B-4996-A71B-E30456349B49}" uniqueName="9" name="Vendor 1" queryTableFieldId="9" dataDxfId="3"/>
    <tableColumn id="11" xr3:uid="{E649168F-8869-4D71-8EF5-96438FA0B053}" uniqueName="11" name="Vendor 1 Cost (ea)" queryTableFieldId="11" dataDxfId="2"/>
    <tableColumn id="12" xr3:uid="{97224136-943F-4BC4-B508-F4E0366CEBBD}" uniqueName="12" name="Description" queryTableFieldId="12" dataDxfId="1"/>
    <tableColumn id="13" xr3:uid="{D19B89A3-CE93-4B85-9013-5751F30ADB2F}" uniqueName="13" name="Ext Cost" queryTableFieldId="13" dataDxfId="0">
      <calculatedColumnFormula>SmartSwitch[[#This Row],[Vendor 1 Cost (ea)]]*SmartSwitch[[#This Row],[Qty]]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1AF7-4BED-4D06-A635-ECDC4B3F11DF}">
  <dimension ref="A1:I60"/>
  <sheetViews>
    <sheetView tabSelected="1" topLeftCell="B42" workbookViewId="0">
      <selection activeCell="H63" sqref="H63"/>
    </sheetView>
  </sheetViews>
  <sheetFormatPr defaultRowHeight="14.4" x14ac:dyDescent="0.3"/>
  <cols>
    <col min="1" max="1" width="42" customWidth="1"/>
    <col min="2" max="2" width="6.109375" style="2" bestFit="1" customWidth="1"/>
    <col min="3" max="3" width="15.33203125" style="4" customWidth="1"/>
    <col min="4" max="4" width="39.77734375" bestFit="1" customWidth="1"/>
    <col min="5" max="5" width="26.77734375" bestFit="1" customWidth="1"/>
    <col min="6" max="6" width="10.44140625" bestFit="1" customWidth="1"/>
    <col min="7" max="7" width="13.6640625" style="4" customWidth="1"/>
    <col min="8" max="8" width="80.88671875" bestFit="1" customWidth="1"/>
    <col min="9" max="9" width="14.77734375" customWidth="1"/>
  </cols>
  <sheetData>
    <row r="1" spans="1:9" x14ac:dyDescent="0.3">
      <c r="A1" t="s">
        <v>0</v>
      </c>
      <c r="B1" s="2" t="s">
        <v>1</v>
      </c>
      <c r="C1" s="4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267</v>
      </c>
    </row>
    <row r="2" spans="1:9" ht="43.2" x14ac:dyDescent="0.3">
      <c r="A2" s="1" t="s">
        <v>8</v>
      </c>
      <c r="B2" s="3">
        <v>23</v>
      </c>
      <c r="C2" s="5" t="s">
        <v>9</v>
      </c>
      <c r="D2" s="1" t="s">
        <v>11</v>
      </c>
      <c r="E2" s="1" t="s">
        <v>12</v>
      </c>
      <c r="F2" s="1" t="s">
        <v>13</v>
      </c>
      <c r="G2" s="5" t="s">
        <v>14</v>
      </c>
      <c r="H2" s="1" t="s">
        <v>15</v>
      </c>
      <c r="I2" s="6">
        <f>SmartSwitch[[#This Row],[Vendor 1 Cost (ea)]]*SmartSwitch[[#This Row],[Qty]]</f>
        <v>5.52</v>
      </c>
    </row>
    <row r="3" spans="1:9" x14ac:dyDescent="0.3">
      <c r="A3" s="1" t="s">
        <v>20</v>
      </c>
      <c r="B3" s="3">
        <v>2</v>
      </c>
      <c r="C3" s="5" t="s">
        <v>21</v>
      </c>
      <c r="D3" s="1" t="s">
        <v>11</v>
      </c>
      <c r="E3" s="1" t="s">
        <v>22</v>
      </c>
      <c r="F3" s="1" t="s">
        <v>13</v>
      </c>
      <c r="G3" s="5" t="s">
        <v>23</v>
      </c>
      <c r="H3" s="1" t="s">
        <v>15</v>
      </c>
      <c r="I3" s="6">
        <f>SmartSwitch[[#This Row],[Vendor 1 Cost (ea)]]*SmartSwitch[[#This Row],[Qty]]</f>
        <v>0.5</v>
      </c>
    </row>
    <row r="4" spans="1:9" ht="43.2" x14ac:dyDescent="0.3">
      <c r="A4" s="1" t="s">
        <v>16</v>
      </c>
      <c r="B4" s="3">
        <v>27</v>
      </c>
      <c r="C4" s="5" t="s">
        <v>17</v>
      </c>
      <c r="D4" s="1" t="s">
        <v>11</v>
      </c>
      <c r="E4" s="1" t="s">
        <v>18</v>
      </c>
      <c r="F4" s="1" t="s">
        <v>13</v>
      </c>
      <c r="G4" s="5" t="s">
        <v>19</v>
      </c>
      <c r="H4" s="1" t="s">
        <v>15</v>
      </c>
      <c r="I4" s="6">
        <f>SmartSwitch[[#This Row],[Vendor 1 Cost (ea)]]*SmartSwitch[[#This Row],[Qty]]</f>
        <v>1.6199999999999999</v>
      </c>
    </row>
    <row r="5" spans="1:9" x14ac:dyDescent="0.3">
      <c r="A5" s="1" t="s">
        <v>24</v>
      </c>
      <c r="B5" s="3">
        <v>1</v>
      </c>
      <c r="C5" s="5" t="s">
        <v>25</v>
      </c>
      <c r="D5" s="1" t="s">
        <v>11</v>
      </c>
      <c r="E5" s="1" t="s">
        <v>26</v>
      </c>
      <c r="F5" s="1" t="s">
        <v>13</v>
      </c>
      <c r="G5" s="5" t="s">
        <v>27</v>
      </c>
      <c r="H5" s="1" t="s">
        <v>15</v>
      </c>
      <c r="I5" s="6">
        <f>SmartSwitch[[#This Row],[Vendor 1 Cost (ea)]]*SmartSwitch[[#This Row],[Qty]]</f>
        <v>0.51</v>
      </c>
    </row>
    <row r="6" spans="1:9" x14ac:dyDescent="0.3">
      <c r="A6" s="1" t="s">
        <v>28</v>
      </c>
      <c r="B6" s="3">
        <v>2</v>
      </c>
      <c r="C6" s="5" t="s">
        <v>29</v>
      </c>
      <c r="D6" s="1" t="s">
        <v>11</v>
      </c>
      <c r="E6" s="1" t="s">
        <v>30</v>
      </c>
      <c r="F6" s="1" t="s">
        <v>13</v>
      </c>
      <c r="G6" s="5" t="s">
        <v>31</v>
      </c>
      <c r="H6" s="1" t="s">
        <v>32</v>
      </c>
      <c r="I6" s="6">
        <f>SmartSwitch[[#This Row],[Vendor 1 Cost (ea)]]*SmartSwitch[[#This Row],[Qty]]</f>
        <v>3.26</v>
      </c>
    </row>
    <row r="7" spans="1:9" x14ac:dyDescent="0.3">
      <c r="A7" s="1" t="s">
        <v>33</v>
      </c>
      <c r="B7" s="3">
        <v>1</v>
      </c>
      <c r="C7" s="5" t="s">
        <v>34</v>
      </c>
      <c r="D7" s="1" t="s">
        <v>11</v>
      </c>
      <c r="E7" s="1" t="s">
        <v>35</v>
      </c>
      <c r="F7" s="1" t="s">
        <v>13</v>
      </c>
      <c r="G7" s="5" t="s">
        <v>36</v>
      </c>
      <c r="H7" s="1" t="s">
        <v>32</v>
      </c>
      <c r="I7" s="6">
        <f>SmartSwitch[[#This Row],[Vendor 1 Cost (ea)]]*SmartSwitch[[#This Row],[Qty]]</f>
        <v>1.78</v>
      </c>
    </row>
    <row r="8" spans="1:9" x14ac:dyDescent="0.3">
      <c r="A8" s="1" t="s">
        <v>37</v>
      </c>
      <c r="B8" s="3">
        <v>1</v>
      </c>
      <c r="C8" s="5" t="s">
        <v>38</v>
      </c>
      <c r="D8" s="1" t="s">
        <v>39</v>
      </c>
      <c r="E8" s="1" t="s">
        <v>40</v>
      </c>
      <c r="F8" s="1" t="s">
        <v>13</v>
      </c>
      <c r="G8" s="5" t="s">
        <v>14</v>
      </c>
      <c r="H8" s="1" t="s">
        <v>41</v>
      </c>
      <c r="I8" s="6">
        <f>SmartSwitch[[#This Row],[Vendor 1 Cost (ea)]]*SmartSwitch[[#This Row],[Qty]]</f>
        <v>0.24</v>
      </c>
    </row>
    <row r="9" spans="1:9" x14ac:dyDescent="0.3">
      <c r="A9" s="1" t="s">
        <v>42</v>
      </c>
      <c r="B9" s="3">
        <v>1</v>
      </c>
      <c r="C9" s="5" t="s">
        <v>43</v>
      </c>
      <c r="D9" s="1" t="s">
        <v>44</v>
      </c>
      <c r="E9" s="1" t="s">
        <v>43</v>
      </c>
      <c r="F9" s="1" t="s">
        <v>13</v>
      </c>
      <c r="G9" s="5" t="s">
        <v>27</v>
      </c>
      <c r="H9" s="1" t="s">
        <v>45</v>
      </c>
      <c r="I9" s="6">
        <f>SmartSwitch[[#This Row],[Vendor 1 Cost (ea)]]*SmartSwitch[[#This Row],[Qty]]</f>
        <v>0.51</v>
      </c>
    </row>
    <row r="10" spans="1:9" x14ac:dyDescent="0.3">
      <c r="A10" s="1" t="s">
        <v>46</v>
      </c>
      <c r="B10" s="3">
        <v>3</v>
      </c>
      <c r="C10" s="5" t="s">
        <v>47</v>
      </c>
      <c r="D10" s="1" t="s">
        <v>48</v>
      </c>
      <c r="E10" s="1" t="s">
        <v>49</v>
      </c>
      <c r="F10" s="1" t="s">
        <v>13</v>
      </c>
      <c r="G10" s="5" t="s">
        <v>50</v>
      </c>
      <c r="H10" s="1" t="s">
        <v>51</v>
      </c>
      <c r="I10" s="6">
        <f>SmartSwitch[[#This Row],[Vendor 1 Cost (ea)]]*SmartSwitch[[#This Row],[Qty]]</f>
        <v>0.54</v>
      </c>
    </row>
    <row r="11" spans="1:9" x14ac:dyDescent="0.3">
      <c r="A11" s="1" t="s">
        <v>52</v>
      </c>
      <c r="B11" s="3">
        <v>2</v>
      </c>
      <c r="C11" s="5" t="s">
        <v>53</v>
      </c>
      <c r="D11" s="1" t="s">
        <v>54</v>
      </c>
      <c r="E11" s="1" t="s">
        <v>55</v>
      </c>
      <c r="F11" s="1" t="s">
        <v>13</v>
      </c>
      <c r="G11" s="5" t="s">
        <v>56</v>
      </c>
      <c r="H11" s="1" t="s">
        <v>57</v>
      </c>
      <c r="I11" s="6">
        <f>SmartSwitch[[#This Row],[Vendor 1 Cost (ea)]]*SmartSwitch[[#This Row],[Qty]]</f>
        <v>0.32</v>
      </c>
    </row>
    <row r="12" spans="1:9" x14ac:dyDescent="0.3">
      <c r="A12" s="1" t="s">
        <v>58</v>
      </c>
      <c r="B12" s="3">
        <v>1</v>
      </c>
      <c r="C12" s="5" t="s">
        <v>59</v>
      </c>
      <c r="D12" s="1" t="s">
        <v>60</v>
      </c>
      <c r="E12" s="1" t="s">
        <v>61</v>
      </c>
      <c r="F12" s="1" t="s">
        <v>13</v>
      </c>
      <c r="G12" s="5" t="s">
        <v>62</v>
      </c>
      <c r="H12" s="1" t="s">
        <v>59</v>
      </c>
      <c r="I12" s="6">
        <f>SmartSwitch[[#This Row],[Vendor 1 Cost (ea)]]*SmartSwitch[[#This Row],[Qty]]</f>
        <v>0.08</v>
      </c>
    </row>
    <row r="13" spans="1:9" ht="28.8" x14ac:dyDescent="0.3">
      <c r="A13" s="1" t="s">
        <v>63</v>
      </c>
      <c r="B13" s="3">
        <v>1</v>
      </c>
      <c r="C13" s="5" t="s">
        <v>64</v>
      </c>
      <c r="D13" s="1" t="s">
        <v>65</v>
      </c>
      <c r="E13" s="1" t="s">
        <v>66</v>
      </c>
      <c r="F13" s="1" t="s">
        <v>13</v>
      </c>
      <c r="G13" s="5" t="s">
        <v>67</v>
      </c>
      <c r="H13" s="1" t="s">
        <v>68</v>
      </c>
      <c r="I13" s="6">
        <f>SmartSwitch[[#This Row],[Vendor 1 Cost (ea)]]*SmartSwitch[[#This Row],[Qty]]</f>
        <v>0.61</v>
      </c>
    </row>
    <row r="14" spans="1:9" x14ac:dyDescent="0.3">
      <c r="A14" s="1" t="s">
        <v>69</v>
      </c>
      <c r="B14" s="3">
        <v>1</v>
      </c>
      <c r="C14" s="5" t="s">
        <v>70</v>
      </c>
      <c r="D14" s="1" t="s">
        <v>71</v>
      </c>
      <c r="E14" s="1" t="s">
        <v>72</v>
      </c>
      <c r="F14" s="1" t="s">
        <v>13</v>
      </c>
      <c r="G14" s="5" t="s">
        <v>73</v>
      </c>
      <c r="H14" s="1" t="s">
        <v>74</v>
      </c>
      <c r="I14" s="6">
        <f>SmartSwitch[[#This Row],[Vendor 1 Cost (ea)]]*SmartSwitch[[#This Row],[Qty]]</f>
        <v>0.46</v>
      </c>
    </row>
    <row r="15" spans="1:9" x14ac:dyDescent="0.3">
      <c r="A15" s="1" t="s">
        <v>75</v>
      </c>
      <c r="B15" s="3">
        <v>5</v>
      </c>
      <c r="C15" s="5" t="s">
        <v>76</v>
      </c>
      <c r="D15" s="1" t="s">
        <v>77</v>
      </c>
      <c r="E15" s="1" t="s">
        <v>78</v>
      </c>
      <c r="F15" s="1" t="s">
        <v>13</v>
      </c>
      <c r="G15" s="5" t="s">
        <v>79</v>
      </c>
      <c r="H15" s="1" t="s">
        <v>80</v>
      </c>
      <c r="I15" s="6">
        <f>SmartSwitch[[#This Row],[Vendor 1 Cost (ea)]]*SmartSwitch[[#This Row],[Qty]]</f>
        <v>24.65</v>
      </c>
    </row>
    <row r="16" spans="1:9" ht="28.8" x14ac:dyDescent="0.3">
      <c r="A16" s="1" t="s">
        <v>81</v>
      </c>
      <c r="B16" s="3">
        <v>1</v>
      </c>
      <c r="C16" s="5" t="s">
        <v>82</v>
      </c>
      <c r="D16" s="1" t="s">
        <v>83</v>
      </c>
      <c r="E16" s="1" t="s">
        <v>84</v>
      </c>
      <c r="F16" s="1" t="s">
        <v>13</v>
      </c>
      <c r="G16" s="5" t="s">
        <v>85</v>
      </c>
      <c r="H16" s="1" t="s">
        <v>86</v>
      </c>
      <c r="I16" s="6">
        <f>SmartSwitch[[#This Row],[Vendor 1 Cost (ea)]]*SmartSwitch[[#This Row],[Qty]]</f>
        <v>0.83</v>
      </c>
    </row>
    <row r="17" spans="1:9" x14ac:dyDescent="0.3">
      <c r="A17" s="1" t="s">
        <v>87</v>
      </c>
      <c r="B17" s="3">
        <v>4</v>
      </c>
      <c r="C17" s="5" t="s">
        <v>88</v>
      </c>
      <c r="D17" s="1" t="s">
        <v>89</v>
      </c>
      <c r="E17" s="1" t="s">
        <v>90</v>
      </c>
      <c r="F17" s="1" t="s">
        <v>13</v>
      </c>
      <c r="G17" s="5">
        <v>2.66</v>
      </c>
      <c r="H17" s="1" t="s">
        <v>91</v>
      </c>
      <c r="I17" s="6">
        <f>SmartSwitch[[#This Row],[Vendor 1 Cost (ea)]]*SmartSwitch[[#This Row],[Qty]]</f>
        <v>10.64</v>
      </c>
    </row>
    <row r="18" spans="1:9" x14ac:dyDescent="0.3">
      <c r="A18" s="1" t="s">
        <v>92</v>
      </c>
      <c r="B18" s="3">
        <v>2</v>
      </c>
      <c r="C18" s="5" t="s">
        <v>93</v>
      </c>
      <c r="D18" s="1" t="s">
        <v>94</v>
      </c>
      <c r="E18" s="1" t="s">
        <v>93</v>
      </c>
      <c r="F18" s="1" t="s">
        <v>13</v>
      </c>
      <c r="G18" s="5">
        <v>1.32</v>
      </c>
      <c r="H18" s="1" t="s">
        <v>95</v>
      </c>
      <c r="I18" s="6">
        <f>SmartSwitch[[#This Row],[Vendor 1 Cost (ea)]]*SmartSwitch[[#This Row],[Qty]]</f>
        <v>2.64</v>
      </c>
    </row>
    <row r="19" spans="1:9" x14ac:dyDescent="0.3">
      <c r="A19" s="1" t="s">
        <v>96</v>
      </c>
      <c r="B19" s="3">
        <v>1</v>
      </c>
      <c r="C19" s="5" t="s">
        <v>97</v>
      </c>
      <c r="D19" s="1" t="s">
        <v>44</v>
      </c>
      <c r="E19" s="1" t="s">
        <v>97</v>
      </c>
      <c r="F19" s="1" t="s">
        <v>13</v>
      </c>
      <c r="G19" s="5" t="s">
        <v>98</v>
      </c>
      <c r="H19" s="1" t="s">
        <v>99</v>
      </c>
      <c r="I19" s="6">
        <f>SmartSwitch[[#This Row],[Vendor 1 Cost (ea)]]*SmartSwitch[[#This Row],[Qty]]</f>
        <v>0.45</v>
      </c>
    </row>
    <row r="20" spans="1:9" x14ac:dyDescent="0.3">
      <c r="A20" s="1" t="s">
        <v>100</v>
      </c>
      <c r="B20" s="3">
        <v>6</v>
      </c>
      <c r="C20" s="5" t="s">
        <v>101</v>
      </c>
      <c r="D20" s="1" t="s">
        <v>102</v>
      </c>
      <c r="E20" s="1" t="s">
        <v>103</v>
      </c>
      <c r="F20" s="1" t="s">
        <v>13</v>
      </c>
      <c r="G20" s="5" t="s">
        <v>62</v>
      </c>
      <c r="H20" s="1" t="s">
        <v>104</v>
      </c>
      <c r="I20" s="6">
        <f>SmartSwitch[[#This Row],[Vendor 1 Cost (ea)]]*SmartSwitch[[#This Row],[Qty]]</f>
        <v>0.48</v>
      </c>
    </row>
    <row r="21" spans="1:9" ht="28.8" x14ac:dyDescent="0.3">
      <c r="A21" s="1" t="s">
        <v>113</v>
      </c>
      <c r="B21" s="3">
        <v>2</v>
      </c>
      <c r="C21" s="5" t="s">
        <v>114</v>
      </c>
      <c r="D21" s="1" t="s">
        <v>102</v>
      </c>
      <c r="E21" s="1" t="s">
        <v>115</v>
      </c>
      <c r="F21" s="1" t="s">
        <v>13</v>
      </c>
      <c r="G21" s="5" t="s">
        <v>116</v>
      </c>
      <c r="H21" s="1" t="s">
        <v>117</v>
      </c>
      <c r="I21" s="6">
        <f>SmartSwitch[[#This Row],[Vendor 1 Cost (ea)]]*SmartSwitch[[#This Row],[Qty]]</f>
        <v>0.18</v>
      </c>
    </row>
    <row r="22" spans="1:9" ht="28.8" x14ac:dyDescent="0.3">
      <c r="A22" s="1" t="s">
        <v>118</v>
      </c>
      <c r="B22" s="3">
        <v>3</v>
      </c>
      <c r="C22" s="5" t="s">
        <v>119</v>
      </c>
      <c r="D22" s="1" t="s">
        <v>102</v>
      </c>
      <c r="E22" s="1" t="s">
        <v>120</v>
      </c>
      <c r="F22" s="1" t="s">
        <v>13</v>
      </c>
      <c r="G22" s="5" t="s">
        <v>121</v>
      </c>
      <c r="H22" s="1" t="s">
        <v>122</v>
      </c>
      <c r="I22" s="6">
        <f>SmartSwitch[[#This Row],[Vendor 1 Cost (ea)]]*SmartSwitch[[#This Row],[Qty]]</f>
        <v>0.21000000000000002</v>
      </c>
    </row>
    <row r="23" spans="1:9" ht="28.8" x14ac:dyDescent="0.3">
      <c r="A23" s="1" t="s">
        <v>123</v>
      </c>
      <c r="B23" s="3">
        <v>1</v>
      </c>
      <c r="C23" s="5" t="s">
        <v>124</v>
      </c>
      <c r="D23" s="1" t="s">
        <v>102</v>
      </c>
      <c r="E23" s="1" t="s">
        <v>125</v>
      </c>
      <c r="F23" s="1" t="s">
        <v>13</v>
      </c>
      <c r="G23" s="5" t="s">
        <v>121</v>
      </c>
      <c r="H23" s="1" t="s">
        <v>126</v>
      </c>
      <c r="I23" s="6">
        <f>SmartSwitch[[#This Row],[Vendor 1 Cost (ea)]]*SmartSwitch[[#This Row],[Qty]]</f>
        <v>7.0000000000000007E-2</v>
      </c>
    </row>
    <row r="24" spans="1:9" ht="28.8" x14ac:dyDescent="0.3">
      <c r="A24" s="1" t="s">
        <v>127</v>
      </c>
      <c r="B24" s="3">
        <v>1</v>
      </c>
      <c r="C24" s="5" t="s">
        <v>128</v>
      </c>
      <c r="D24" s="1" t="s">
        <v>102</v>
      </c>
      <c r="E24" s="1" t="s">
        <v>129</v>
      </c>
      <c r="F24" s="1" t="s">
        <v>13</v>
      </c>
      <c r="G24" s="5" t="s">
        <v>62</v>
      </c>
      <c r="H24" s="1" t="s">
        <v>130</v>
      </c>
      <c r="I24" s="6">
        <f>SmartSwitch[[#This Row],[Vendor 1 Cost (ea)]]*SmartSwitch[[#This Row],[Qty]]</f>
        <v>0.08</v>
      </c>
    </row>
    <row r="25" spans="1:9" x14ac:dyDescent="0.3">
      <c r="A25" s="1" t="s">
        <v>131</v>
      </c>
      <c r="B25" s="3">
        <v>1</v>
      </c>
      <c r="C25" s="5" t="s">
        <v>114</v>
      </c>
      <c r="D25" s="1" t="s">
        <v>102</v>
      </c>
      <c r="E25" s="1" t="s">
        <v>132</v>
      </c>
      <c r="F25" s="1" t="s">
        <v>13</v>
      </c>
      <c r="G25" s="5" t="s">
        <v>62</v>
      </c>
      <c r="H25" s="1" t="s">
        <v>133</v>
      </c>
      <c r="I25" s="6">
        <f>SmartSwitch[[#This Row],[Vendor 1 Cost (ea)]]*SmartSwitch[[#This Row],[Qty]]</f>
        <v>0.08</v>
      </c>
    </row>
    <row r="26" spans="1:9" x14ac:dyDescent="0.3">
      <c r="A26" s="1" t="s">
        <v>134</v>
      </c>
      <c r="B26" s="3">
        <v>7</v>
      </c>
      <c r="C26" s="5" t="s">
        <v>135</v>
      </c>
      <c r="D26" s="1" t="s">
        <v>102</v>
      </c>
      <c r="E26" s="1" t="s">
        <v>136</v>
      </c>
      <c r="F26" s="1" t="s">
        <v>13</v>
      </c>
      <c r="G26" s="5" t="s">
        <v>62</v>
      </c>
      <c r="H26" s="1" t="s">
        <v>137</v>
      </c>
      <c r="I26" s="6">
        <f>SmartSwitch[[#This Row],[Vendor 1 Cost (ea)]]*SmartSwitch[[#This Row],[Qty]]</f>
        <v>0.56000000000000005</v>
      </c>
    </row>
    <row r="27" spans="1:9" x14ac:dyDescent="0.3">
      <c r="A27" s="1" t="s">
        <v>138</v>
      </c>
      <c r="B27" s="3">
        <v>1</v>
      </c>
      <c r="C27" s="5" t="s">
        <v>139</v>
      </c>
      <c r="D27" s="1" t="s">
        <v>102</v>
      </c>
      <c r="E27" s="1" t="s">
        <v>140</v>
      </c>
      <c r="F27" s="1" t="s">
        <v>13</v>
      </c>
      <c r="G27" s="5" t="s">
        <v>62</v>
      </c>
      <c r="H27" s="1" t="s">
        <v>141</v>
      </c>
      <c r="I27" s="6">
        <f>SmartSwitch[[#This Row],[Vendor 1 Cost (ea)]]*SmartSwitch[[#This Row],[Qty]]</f>
        <v>0.08</v>
      </c>
    </row>
    <row r="28" spans="1:9" x14ac:dyDescent="0.3">
      <c r="A28" s="1" t="s">
        <v>142</v>
      </c>
      <c r="B28" s="3">
        <v>1</v>
      </c>
      <c r="C28" s="5" t="s">
        <v>143</v>
      </c>
      <c r="D28" s="1" t="s">
        <v>102</v>
      </c>
      <c r="E28" s="1" t="s">
        <v>144</v>
      </c>
      <c r="F28" s="1" t="s">
        <v>13</v>
      </c>
      <c r="G28" s="5" t="s">
        <v>62</v>
      </c>
      <c r="H28" s="1" t="s">
        <v>145</v>
      </c>
      <c r="I28" s="6">
        <f>SmartSwitch[[#This Row],[Vendor 1 Cost (ea)]]*SmartSwitch[[#This Row],[Qty]]</f>
        <v>0.08</v>
      </c>
    </row>
    <row r="29" spans="1:9" ht="28.8" x14ac:dyDescent="0.3">
      <c r="A29" s="1" t="s">
        <v>146</v>
      </c>
      <c r="B29" s="3">
        <v>2</v>
      </c>
      <c r="C29" s="5" t="s">
        <v>147</v>
      </c>
      <c r="D29" s="1" t="s">
        <v>102</v>
      </c>
      <c r="E29" s="1" t="s">
        <v>148</v>
      </c>
      <c r="F29" s="1" t="s">
        <v>13</v>
      </c>
      <c r="G29" s="5" t="s">
        <v>62</v>
      </c>
      <c r="H29" s="1" t="s">
        <v>149</v>
      </c>
      <c r="I29" s="6">
        <f>SmartSwitch[[#This Row],[Vendor 1 Cost (ea)]]*SmartSwitch[[#This Row],[Qty]]</f>
        <v>0.16</v>
      </c>
    </row>
    <row r="30" spans="1:9" ht="28.8" x14ac:dyDescent="0.3">
      <c r="A30" s="1" t="s">
        <v>150</v>
      </c>
      <c r="B30" s="3">
        <v>3</v>
      </c>
      <c r="C30" s="5" t="s">
        <v>151</v>
      </c>
      <c r="D30" s="1" t="s">
        <v>102</v>
      </c>
      <c r="E30" s="1" t="s">
        <v>148</v>
      </c>
      <c r="F30" s="1" t="s">
        <v>13</v>
      </c>
      <c r="G30" s="5" t="s">
        <v>62</v>
      </c>
      <c r="H30" s="1" t="s">
        <v>149</v>
      </c>
      <c r="I30" s="6">
        <f>SmartSwitch[[#This Row],[Vendor 1 Cost (ea)]]*SmartSwitch[[#This Row],[Qty]]</f>
        <v>0.24</v>
      </c>
    </row>
    <row r="31" spans="1:9" ht="28.8" x14ac:dyDescent="0.3">
      <c r="A31" s="1" t="s">
        <v>152</v>
      </c>
      <c r="B31" s="3">
        <v>1</v>
      </c>
      <c r="C31" s="5" t="s">
        <v>153</v>
      </c>
      <c r="D31" s="1" t="s">
        <v>102</v>
      </c>
      <c r="E31" s="1" t="s">
        <v>154</v>
      </c>
      <c r="F31" s="1" t="s">
        <v>13</v>
      </c>
      <c r="G31" s="5" t="s">
        <v>62</v>
      </c>
      <c r="H31" s="1" t="s">
        <v>155</v>
      </c>
      <c r="I31" s="6">
        <f>SmartSwitch[[#This Row],[Vendor 1 Cost (ea)]]*SmartSwitch[[#This Row],[Qty]]</f>
        <v>0.08</v>
      </c>
    </row>
    <row r="32" spans="1:9" ht="28.8" x14ac:dyDescent="0.3">
      <c r="A32" s="1" t="s">
        <v>156</v>
      </c>
      <c r="B32" s="3">
        <v>1</v>
      </c>
      <c r="C32" s="5" t="s">
        <v>157</v>
      </c>
      <c r="D32" s="1" t="s">
        <v>102</v>
      </c>
      <c r="E32" s="1" t="s">
        <v>158</v>
      </c>
      <c r="F32" s="1" t="s">
        <v>13</v>
      </c>
      <c r="G32" s="5" t="s">
        <v>62</v>
      </c>
      <c r="H32" s="1" t="s">
        <v>159</v>
      </c>
      <c r="I32" s="6">
        <f>SmartSwitch[[#This Row],[Vendor 1 Cost (ea)]]*SmartSwitch[[#This Row],[Qty]]</f>
        <v>0.08</v>
      </c>
    </row>
    <row r="33" spans="1:9" ht="28.8" x14ac:dyDescent="0.3">
      <c r="A33" s="1" t="s">
        <v>160</v>
      </c>
      <c r="B33" s="3">
        <v>2</v>
      </c>
      <c r="C33" s="5" t="s">
        <v>161</v>
      </c>
      <c r="D33" s="1" t="s">
        <v>102</v>
      </c>
      <c r="E33" s="1" t="s">
        <v>162</v>
      </c>
      <c r="F33" s="1" t="s">
        <v>13</v>
      </c>
      <c r="G33" s="5" t="s">
        <v>62</v>
      </c>
      <c r="H33" s="1" t="s">
        <v>163</v>
      </c>
      <c r="I33" s="6">
        <f>SmartSwitch[[#This Row],[Vendor 1 Cost (ea)]]*SmartSwitch[[#This Row],[Qty]]</f>
        <v>0.16</v>
      </c>
    </row>
    <row r="34" spans="1:9" ht="28.8" x14ac:dyDescent="0.3">
      <c r="A34" s="1" t="s">
        <v>164</v>
      </c>
      <c r="B34" s="3">
        <v>1</v>
      </c>
      <c r="C34" s="5" t="s">
        <v>165</v>
      </c>
      <c r="D34" s="1" t="s">
        <v>102</v>
      </c>
      <c r="E34" s="1" t="s">
        <v>166</v>
      </c>
      <c r="F34" s="1" t="s">
        <v>13</v>
      </c>
      <c r="G34" s="5" t="s">
        <v>62</v>
      </c>
      <c r="H34" s="1" t="s">
        <v>167</v>
      </c>
      <c r="I34" s="6">
        <f>SmartSwitch[[#This Row],[Vendor 1 Cost (ea)]]*SmartSwitch[[#This Row],[Qty]]</f>
        <v>0.08</v>
      </c>
    </row>
    <row r="35" spans="1:9" ht="28.8" x14ac:dyDescent="0.3">
      <c r="A35" s="1" t="s">
        <v>168</v>
      </c>
      <c r="B35" s="3">
        <v>1</v>
      </c>
      <c r="C35" s="5" t="s">
        <v>169</v>
      </c>
      <c r="D35" s="1" t="s">
        <v>102</v>
      </c>
      <c r="E35" s="1" t="s">
        <v>170</v>
      </c>
      <c r="F35" s="1" t="s">
        <v>13</v>
      </c>
      <c r="G35" s="5" t="s">
        <v>62</v>
      </c>
      <c r="H35" s="1" t="s">
        <v>171</v>
      </c>
      <c r="I35" s="6">
        <f>SmartSwitch[[#This Row],[Vendor 1 Cost (ea)]]*SmartSwitch[[#This Row],[Qty]]</f>
        <v>0.08</v>
      </c>
    </row>
    <row r="36" spans="1:9" ht="28.8" x14ac:dyDescent="0.3">
      <c r="A36" s="1" t="s">
        <v>172</v>
      </c>
      <c r="B36" s="3">
        <v>1</v>
      </c>
      <c r="C36" s="5" t="s">
        <v>173</v>
      </c>
      <c r="D36" s="1" t="s">
        <v>102</v>
      </c>
      <c r="E36" s="1" t="s">
        <v>174</v>
      </c>
      <c r="F36" s="1" t="s">
        <v>13</v>
      </c>
      <c r="G36" s="5" t="s">
        <v>62</v>
      </c>
      <c r="H36" s="1" t="s">
        <v>175</v>
      </c>
      <c r="I36" s="6">
        <f>SmartSwitch[[#This Row],[Vendor 1 Cost (ea)]]*SmartSwitch[[#This Row],[Qty]]</f>
        <v>0.08</v>
      </c>
    </row>
    <row r="37" spans="1:9" x14ac:dyDescent="0.3">
      <c r="A37" s="1" t="s">
        <v>176</v>
      </c>
      <c r="B37" s="3">
        <v>3</v>
      </c>
      <c r="C37" s="5" t="s">
        <v>177</v>
      </c>
      <c r="D37" s="1" t="s">
        <v>102</v>
      </c>
      <c r="E37" s="1" t="s">
        <v>178</v>
      </c>
      <c r="F37" s="1" t="s">
        <v>13</v>
      </c>
      <c r="G37" s="5" t="s">
        <v>62</v>
      </c>
      <c r="H37" s="1" t="s">
        <v>179</v>
      </c>
      <c r="I37" s="6">
        <f>SmartSwitch[[#This Row],[Vendor 1 Cost (ea)]]*SmartSwitch[[#This Row],[Qty]]</f>
        <v>0.24</v>
      </c>
    </row>
    <row r="38" spans="1:9" ht="28.8" x14ac:dyDescent="0.3">
      <c r="A38" s="1" t="s">
        <v>180</v>
      </c>
      <c r="B38" s="3">
        <v>1</v>
      </c>
      <c r="C38" s="5" t="s">
        <v>181</v>
      </c>
      <c r="D38" s="1" t="s">
        <v>102</v>
      </c>
      <c r="E38" s="1" t="s">
        <v>182</v>
      </c>
      <c r="F38" s="1" t="s">
        <v>13</v>
      </c>
      <c r="G38" s="5" t="s">
        <v>121</v>
      </c>
      <c r="H38" s="1" t="s">
        <v>183</v>
      </c>
      <c r="I38" s="6">
        <f>SmartSwitch[[#This Row],[Vendor 1 Cost (ea)]]*SmartSwitch[[#This Row],[Qty]]</f>
        <v>7.0000000000000007E-2</v>
      </c>
    </row>
    <row r="39" spans="1:9" x14ac:dyDescent="0.3">
      <c r="A39" s="1" t="s">
        <v>105</v>
      </c>
      <c r="B39" s="3">
        <v>5</v>
      </c>
      <c r="C39" s="5" t="s">
        <v>106</v>
      </c>
      <c r="D39" s="1" t="s">
        <v>102</v>
      </c>
      <c r="E39" s="1" t="s">
        <v>107</v>
      </c>
      <c r="F39" s="1" t="s">
        <v>13</v>
      </c>
      <c r="G39" s="5" t="s">
        <v>62</v>
      </c>
      <c r="H39" s="1" t="s">
        <v>108</v>
      </c>
      <c r="I39" s="6">
        <f>SmartSwitch[[#This Row],[Vendor 1 Cost (ea)]]*SmartSwitch[[#This Row],[Qty]]</f>
        <v>0.4</v>
      </c>
    </row>
    <row r="40" spans="1:9" x14ac:dyDescent="0.3">
      <c r="A40" s="1" t="s">
        <v>109</v>
      </c>
      <c r="B40" s="3">
        <v>2</v>
      </c>
      <c r="C40" s="5" t="s">
        <v>110</v>
      </c>
      <c r="D40" s="1" t="s">
        <v>102</v>
      </c>
      <c r="E40" s="1" t="s">
        <v>111</v>
      </c>
      <c r="F40" s="1" t="s">
        <v>13</v>
      </c>
      <c r="G40" s="5" t="s">
        <v>62</v>
      </c>
      <c r="H40" s="1" t="s">
        <v>112</v>
      </c>
      <c r="I40" s="6">
        <f>SmartSwitch[[#This Row],[Vendor 1 Cost (ea)]]*SmartSwitch[[#This Row],[Qty]]</f>
        <v>0.16</v>
      </c>
    </row>
    <row r="41" spans="1:9" x14ac:dyDescent="0.3">
      <c r="A41" s="1" t="s">
        <v>184</v>
      </c>
      <c r="B41" s="3">
        <v>1</v>
      </c>
      <c r="C41" s="5" t="s">
        <v>185</v>
      </c>
      <c r="D41" s="1" t="s">
        <v>186</v>
      </c>
      <c r="E41" s="1" t="s">
        <v>187</v>
      </c>
      <c r="F41" s="1" t="s">
        <v>13</v>
      </c>
      <c r="G41" s="5" t="s">
        <v>188</v>
      </c>
      <c r="H41" s="1" t="s">
        <v>189</v>
      </c>
      <c r="I41" s="6">
        <f>SmartSwitch[[#This Row],[Vendor 1 Cost (ea)]]*SmartSwitch[[#This Row],[Qty]]</f>
        <v>1.17</v>
      </c>
    </row>
    <row r="42" spans="1:9" x14ac:dyDescent="0.3">
      <c r="A42" s="1" t="s">
        <v>190</v>
      </c>
      <c r="B42" s="3">
        <v>3</v>
      </c>
      <c r="C42" s="5" t="s">
        <v>191</v>
      </c>
      <c r="D42" s="1" t="s">
        <v>192</v>
      </c>
      <c r="E42" s="1" t="s">
        <v>193</v>
      </c>
      <c r="F42" s="1" t="s">
        <v>13</v>
      </c>
      <c r="G42" s="5" t="s">
        <v>98</v>
      </c>
      <c r="H42" s="1" t="s">
        <v>194</v>
      </c>
      <c r="I42" s="6">
        <f>SmartSwitch[[#This Row],[Vendor 1 Cost (ea)]]*SmartSwitch[[#This Row],[Qty]]</f>
        <v>1.35</v>
      </c>
    </row>
    <row r="43" spans="1:9" x14ac:dyDescent="0.3">
      <c r="A43" s="1" t="s">
        <v>195</v>
      </c>
      <c r="B43" s="3">
        <v>2</v>
      </c>
      <c r="C43" s="5" t="s">
        <v>196</v>
      </c>
      <c r="D43" s="1" t="s">
        <v>197</v>
      </c>
      <c r="E43" s="1" t="s">
        <v>198</v>
      </c>
      <c r="F43" s="1" t="s">
        <v>13</v>
      </c>
      <c r="G43" s="5" t="s">
        <v>199</v>
      </c>
      <c r="H43" s="1" t="s">
        <v>200</v>
      </c>
      <c r="I43" s="6">
        <f>SmartSwitch[[#This Row],[Vendor 1 Cost (ea)]]*SmartSwitch[[#This Row],[Qty]]</f>
        <v>0.44</v>
      </c>
    </row>
    <row r="44" spans="1:9" x14ac:dyDescent="0.3">
      <c r="A44" s="1" t="s">
        <v>201</v>
      </c>
      <c r="B44" s="3">
        <v>1</v>
      </c>
      <c r="C44" s="5" t="s">
        <v>196</v>
      </c>
      <c r="D44" s="1" t="s">
        <v>197</v>
      </c>
      <c r="E44" s="1" t="s">
        <v>202</v>
      </c>
      <c r="F44" s="1" t="s">
        <v>13</v>
      </c>
      <c r="G44" s="5" t="s">
        <v>199</v>
      </c>
      <c r="H44" s="1" t="s">
        <v>200</v>
      </c>
      <c r="I44" s="6">
        <f>SmartSwitch[[#This Row],[Vendor 1 Cost (ea)]]*SmartSwitch[[#This Row],[Qty]]</f>
        <v>0.22</v>
      </c>
    </row>
    <row r="45" spans="1:9" x14ac:dyDescent="0.3">
      <c r="A45" s="1" t="s">
        <v>203</v>
      </c>
      <c r="B45" s="3">
        <v>3</v>
      </c>
      <c r="C45" s="5" t="s">
        <v>196</v>
      </c>
      <c r="D45" s="1" t="s">
        <v>197</v>
      </c>
      <c r="E45" s="1" t="s">
        <v>204</v>
      </c>
      <c r="F45" s="1" t="s">
        <v>13</v>
      </c>
      <c r="G45" s="5">
        <v>0.28000000000000003</v>
      </c>
      <c r="H45" s="1" t="s">
        <v>200</v>
      </c>
      <c r="I45" s="6">
        <f>SmartSwitch[[#This Row],[Vendor 1 Cost (ea)]]*SmartSwitch[[#This Row],[Qty]]</f>
        <v>0.84000000000000008</v>
      </c>
    </row>
    <row r="46" spans="1:9" x14ac:dyDescent="0.3">
      <c r="A46" s="1" t="s">
        <v>205</v>
      </c>
      <c r="B46" s="3">
        <v>3</v>
      </c>
      <c r="C46" s="5" t="s">
        <v>196</v>
      </c>
      <c r="D46" s="1" t="s">
        <v>197</v>
      </c>
      <c r="E46" s="1" t="s">
        <v>206</v>
      </c>
      <c r="F46" s="1" t="s">
        <v>13</v>
      </c>
      <c r="G46" s="5">
        <v>0.24</v>
      </c>
      <c r="H46" s="1" t="s">
        <v>200</v>
      </c>
      <c r="I46" s="6">
        <f>SmartSwitch[[#This Row],[Vendor 1 Cost (ea)]]*SmartSwitch[[#This Row],[Qty]]</f>
        <v>0.72</v>
      </c>
    </row>
    <row r="47" spans="1:9" x14ac:dyDescent="0.3">
      <c r="A47" s="1" t="s">
        <v>207</v>
      </c>
      <c r="B47" s="3">
        <v>2</v>
      </c>
      <c r="C47" s="5" t="s">
        <v>208</v>
      </c>
      <c r="D47" s="1" t="s">
        <v>209</v>
      </c>
      <c r="E47" s="1" t="s">
        <v>210</v>
      </c>
      <c r="F47" s="1" t="s">
        <v>13</v>
      </c>
      <c r="G47" s="5" t="s">
        <v>211</v>
      </c>
      <c r="H47" s="1" t="s">
        <v>212</v>
      </c>
      <c r="I47" s="6">
        <f>SmartSwitch[[#This Row],[Vendor 1 Cost (ea)]]*SmartSwitch[[#This Row],[Qty]]</f>
        <v>10.4</v>
      </c>
    </row>
    <row r="48" spans="1:9" x14ac:dyDescent="0.3">
      <c r="A48" s="1" t="s">
        <v>246</v>
      </c>
      <c r="B48" s="3">
        <v>1</v>
      </c>
      <c r="C48" s="5" t="s">
        <v>247</v>
      </c>
      <c r="D48" s="1" t="s">
        <v>10</v>
      </c>
      <c r="E48" s="1" t="s">
        <v>10</v>
      </c>
      <c r="F48" s="1" t="s">
        <v>10</v>
      </c>
      <c r="G48" s="5" t="s">
        <v>10</v>
      </c>
      <c r="H48" s="1" t="s">
        <v>268</v>
      </c>
      <c r="I48" s="6">
        <v>25</v>
      </c>
    </row>
    <row r="49" spans="1:9" x14ac:dyDescent="0.3">
      <c r="A49" s="1" t="s">
        <v>248</v>
      </c>
      <c r="B49" s="3">
        <v>3</v>
      </c>
      <c r="C49" s="5" t="s">
        <v>249</v>
      </c>
      <c r="D49" s="1" t="s">
        <v>226</v>
      </c>
      <c r="E49" s="1" t="s">
        <v>250</v>
      </c>
      <c r="F49" s="1" t="s">
        <v>13</v>
      </c>
      <c r="G49" s="5" t="s">
        <v>251</v>
      </c>
      <c r="H49" s="1" t="s">
        <v>252</v>
      </c>
      <c r="I49" s="6">
        <f>SmartSwitch[[#This Row],[Vendor 1 Cost (ea)]]*SmartSwitch[[#This Row],[Qty]]</f>
        <v>1.9500000000000002</v>
      </c>
    </row>
    <row r="50" spans="1:9" x14ac:dyDescent="0.3">
      <c r="A50" s="1" t="s">
        <v>253</v>
      </c>
      <c r="B50" s="3">
        <v>2</v>
      </c>
      <c r="C50" s="5" t="s">
        <v>254</v>
      </c>
      <c r="D50" s="1" t="s">
        <v>215</v>
      </c>
      <c r="E50" s="1" t="s">
        <v>254</v>
      </c>
      <c r="F50" s="1" t="s">
        <v>13</v>
      </c>
      <c r="G50" s="5" t="s">
        <v>255</v>
      </c>
      <c r="H50" s="1" t="s">
        <v>256</v>
      </c>
      <c r="I50" s="6">
        <f>SmartSwitch[[#This Row],[Vendor 1 Cost (ea)]]*SmartSwitch[[#This Row],[Qty]]</f>
        <v>10.98</v>
      </c>
    </row>
    <row r="51" spans="1:9" x14ac:dyDescent="0.3">
      <c r="A51" s="1" t="s">
        <v>257</v>
      </c>
      <c r="B51" s="3">
        <v>2</v>
      </c>
      <c r="C51" s="5" t="s">
        <v>258</v>
      </c>
      <c r="D51" s="1" t="s">
        <v>232</v>
      </c>
      <c r="E51" s="1" t="s">
        <v>259</v>
      </c>
      <c r="F51" s="1" t="s">
        <v>13</v>
      </c>
      <c r="G51" s="5" t="s">
        <v>260</v>
      </c>
      <c r="H51" s="1" t="s">
        <v>261</v>
      </c>
      <c r="I51" s="6">
        <f>SmartSwitch[[#This Row],[Vendor 1 Cost (ea)]]*SmartSwitch[[#This Row],[Qty]]</f>
        <v>8.68</v>
      </c>
    </row>
    <row r="52" spans="1:9" x14ac:dyDescent="0.3">
      <c r="A52" s="1" t="s">
        <v>262</v>
      </c>
      <c r="B52" s="3">
        <v>1</v>
      </c>
      <c r="C52" s="5" t="s">
        <v>263</v>
      </c>
      <c r="D52" s="1" t="s">
        <v>226</v>
      </c>
      <c r="E52" s="1" t="s">
        <v>264</v>
      </c>
      <c r="F52" s="1" t="s">
        <v>13</v>
      </c>
      <c r="G52" s="5" t="s">
        <v>265</v>
      </c>
      <c r="H52" s="1" t="s">
        <v>266</v>
      </c>
      <c r="I52" s="6">
        <f>SmartSwitch[[#This Row],[Vendor 1 Cost (ea)]]*SmartSwitch[[#This Row],[Qty]]</f>
        <v>0.27</v>
      </c>
    </row>
    <row r="53" spans="1:9" ht="28.8" x14ac:dyDescent="0.3">
      <c r="A53" s="1" t="s">
        <v>213</v>
      </c>
      <c r="B53" s="3">
        <v>2</v>
      </c>
      <c r="C53" s="5" t="s">
        <v>214</v>
      </c>
      <c r="D53" s="1" t="s">
        <v>215</v>
      </c>
      <c r="E53" s="1" t="s">
        <v>214</v>
      </c>
      <c r="F53" s="1" t="s">
        <v>13</v>
      </c>
      <c r="G53" s="5" t="s">
        <v>216</v>
      </c>
      <c r="H53" s="1" t="s">
        <v>217</v>
      </c>
      <c r="I53" s="6">
        <f>SmartSwitch[[#This Row],[Vendor 1 Cost (ea)]]*SmartSwitch[[#This Row],[Qty]]</f>
        <v>7.8</v>
      </c>
    </row>
    <row r="54" spans="1:9" x14ac:dyDescent="0.3">
      <c r="A54" s="1" t="s">
        <v>218</v>
      </c>
      <c r="B54" s="3">
        <v>1</v>
      </c>
      <c r="C54" s="5" t="s">
        <v>219</v>
      </c>
      <c r="D54" s="1" t="s">
        <v>220</v>
      </c>
      <c r="E54" s="1" t="s">
        <v>221</v>
      </c>
      <c r="F54" s="1" t="s">
        <v>13</v>
      </c>
      <c r="G54" s="5" t="s">
        <v>222</v>
      </c>
      <c r="H54" s="1" t="s">
        <v>223</v>
      </c>
      <c r="I54" s="6">
        <f>SmartSwitch[[#This Row],[Vendor 1 Cost (ea)]]*SmartSwitch[[#This Row],[Qty]]</f>
        <v>3.44</v>
      </c>
    </row>
    <row r="55" spans="1:9" x14ac:dyDescent="0.3">
      <c r="A55" s="1" t="s">
        <v>224</v>
      </c>
      <c r="B55" s="3">
        <v>1</v>
      </c>
      <c r="C55" s="5" t="s">
        <v>225</v>
      </c>
      <c r="D55" s="1" t="s">
        <v>226</v>
      </c>
      <c r="E55" s="1" t="s">
        <v>227</v>
      </c>
      <c r="F55" s="1" t="s">
        <v>13</v>
      </c>
      <c r="G55" s="5" t="s">
        <v>228</v>
      </c>
      <c r="H55" s="1" t="s">
        <v>229</v>
      </c>
      <c r="I55" s="6">
        <f>SmartSwitch[[#This Row],[Vendor 1 Cost (ea)]]*SmartSwitch[[#This Row],[Qty]]</f>
        <v>2.34</v>
      </c>
    </row>
    <row r="56" spans="1:9" x14ac:dyDescent="0.3">
      <c r="A56" s="1" t="s">
        <v>230</v>
      </c>
      <c r="B56" s="3">
        <v>1</v>
      </c>
      <c r="C56" s="5" t="s">
        <v>231</v>
      </c>
      <c r="D56" s="1" t="s">
        <v>232</v>
      </c>
      <c r="E56" s="1" t="s">
        <v>233</v>
      </c>
      <c r="F56" s="1" t="s">
        <v>13</v>
      </c>
      <c r="G56" s="5" t="s">
        <v>234</v>
      </c>
      <c r="H56" s="1" t="s">
        <v>235</v>
      </c>
      <c r="I56" s="6">
        <f>SmartSwitch[[#This Row],[Vendor 1 Cost (ea)]]*SmartSwitch[[#This Row],[Qty]]</f>
        <v>1.33</v>
      </c>
    </row>
    <row r="57" spans="1:9" ht="28.8" x14ac:dyDescent="0.3">
      <c r="A57" s="1" t="s">
        <v>236</v>
      </c>
      <c r="B57" s="3">
        <v>1</v>
      </c>
      <c r="C57" s="5" t="s">
        <v>237</v>
      </c>
      <c r="D57" s="1" t="s">
        <v>232</v>
      </c>
      <c r="E57" s="1" t="s">
        <v>238</v>
      </c>
      <c r="F57" s="1" t="s">
        <v>13</v>
      </c>
      <c r="G57" s="5" t="s">
        <v>239</v>
      </c>
      <c r="H57" s="1" t="s">
        <v>240</v>
      </c>
      <c r="I57" s="6">
        <f>SmartSwitch[[#This Row],[Vendor 1 Cost (ea)]]*SmartSwitch[[#This Row],[Qty]]</f>
        <v>1.96</v>
      </c>
    </row>
    <row r="58" spans="1:9" x14ac:dyDescent="0.3">
      <c r="A58" s="1" t="s">
        <v>241</v>
      </c>
      <c r="B58" s="3">
        <v>1</v>
      </c>
      <c r="C58" s="5" t="s">
        <v>242</v>
      </c>
      <c r="D58" s="1" t="s">
        <v>220</v>
      </c>
      <c r="E58" s="1" t="s">
        <v>243</v>
      </c>
      <c r="F58" s="1" t="s">
        <v>13</v>
      </c>
      <c r="G58" s="5" t="s">
        <v>244</v>
      </c>
      <c r="H58" s="1" t="s">
        <v>245</v>
      </c>
      <c r="I58" s="6">
        <f>SmartSwitch[[#This Row],[Vendor 1 Cost (ea)]]*SmartSwitch[[#This Row],[Qty]]</f>
        <v>0.36</v>
      </c>
    </row>
    <row r="59" spans="1:9" x14ac:dyDescent="0.3">
      <c r="I59" s="7"/>
    </row>
    <row r="60" spans="1:9" x14ac:dyDescent="0.3">
      <c r="I60" s="7">
        <f>SUM(I2:I59)</f>
        <v>138.06000000000003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5FF7C-934A-4580-B4A9-903232A0FCB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930522-DFE4-4C56-8842-18492553E8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SmartSwitch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Purvis (PGR)</dc:creator>
  <cp:lastModifiedBy>Joseph Purvis (PGR)</cp:lastModifiedBy>
  <dcterms:created xsi:type="dcterms:W3CDTF">2026-02-05T16:55:42Z</dcterms:created>
  <dcterms:modified xsi:type="dcterms:W3CDTF">2026-02-06T09:43:32Z</dcterms:modified>
</cp:coreProperties>
</file>